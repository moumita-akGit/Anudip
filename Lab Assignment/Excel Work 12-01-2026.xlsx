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̀i liệu\Word Documents\"/>
    </mc:Choice>
  </mc:AlternateContent>
  <xr:revisionPtr revIDLastSave="0" documentId="13_ncr:1_{C8799448-18CC-46AE-A411-8A862E5F9335}" xr6:coauthVersionLast="47" xr6:coauthVersionMax="47" xr10:uidLastSave="{00000000-0000-0000-0000-000000000000}"/>
  <bookViews>
    <workbookView xWindow="-108" yWindow="-108" windowWidth="23256" windowHeight="12456" activeTab="1" xr2:uid="{C28278E6-88D8-4905-BC9D-8C9C5C0CE3D1}"/>
  </bookViews>
  <sheets>
    <sheet name="Sheet1" sheetId="1" r:id="rId1"/>
    <sheet name="Sheet2" sheetId="2" r:id="rId2"/>
  </sheets>
  <definedNames>
    <definedName name="Orders">Sheet2!$A$1:$D$7</definedName>
    <definedName name="Products">Sheet1!$A$1:$C$7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  <c r="D3" i="1"/>
  <c r="D4" i="1"/>
  <c r="D5" i="1"/>
  <c r="D6" i="1"/>
  <c r="D7" i="1"/>
  <c r="D8" i="1"/>
  <c r="D2" i="1"/>
  <c r="G13" i="2"/>
  <c r="H3" i="2"/>
  <c r="H4" i="2"/>
  <c r="H5" i="2"/>
  <c r="H6" i="2"/>
  <c r="H7" i="2"/>
  <c r="H8" i="2"/>
  <c r="H2" i="2"/>
  <c r="G3" i="2"/>
  <c r="G4" i="2"/>
  <c r="G5" i="2"/>
  <c r="G6" i="2"/>
  <c r="G7" i="2"/>
  <c r="G8" i="2"/>
  <c r="G2" i="2"/>
  <c r="D2" i="2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</calcChain>
</file>

<file path=xl/sharedStrings.xml><?xml version="1.0" encoding="utf-8"?>
<sst xmlns="http://schemas.openxmlformats.org/spreadsheetml/2006/main" count="22" uniqueCount="20">
  <si>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</si>
  <si>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</si>
  <si>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</si>
  <si>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</si>
  <si>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</si>
  <si>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</si>
  <si>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</si>
  <si>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</si>
  <si>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</si>
  <si>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</si>
  <si>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</si>
  <si>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 Name</t>
  </si>
  <si>
    <t>Total Price</t>
  </si>
  <si>
    <t>F/NF</t>
  </si>
  <si>
    <t>Product G</t>
  </si>
  <si>
    <t>Discounted Price</t>
  </si>
  <si>
    <t>Maximum Order Value</t>
  </si>
  <si>
    <t>Order/Not Ordered</t>
  </si>
  <si>
    <t>Product H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</si>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</sst>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1" fillId="2" borderId="2" xfId="0" applyFont="1" applyFill="1" applyBorder="1"/>
    <xf numFmtId="0" fontId="1" fillId="0" borderId="0" xfId="0" applyFont="1"/>
    <xf numFmtId="0" fontId="0" fillId="0" borderId="1" xfId="0" applyFill="1" applyBorder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8E23-2A50-4C85-A3DE-03FD92E1DD0F}">
  <dimension ref="A1:E8"/>
  <sheetViews>
    <sheetView workbookViewId="0">
      <selection activeCell="G6" sqref="G6"/>
    </sheetView>
  </sheetViews>
  <sheetFormatPr defaultRowHeight="14.4" x14ac:dyDescent="0.3"/>
  <cols>
    <col min="1" max="1" width="9.44140625" bestFit="1" customWidth="1"/>
    <col min="2" max="2" width="9" bestFit="1" customWidth="1"/>
    <col min="4" max="5" width="1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19</v>
      </c>
    </row>
    <row r="2" spans="1:5" x14ac:dyDescent="0.3">
      <c r="A2" s="2">
        <v>101</v>
      </c>
      <c r="B2" s="2" t="s">
        <v>3</v>
      </c>
      <c r="C2" s="2">
        <v>120</v>
      </c>
      <c r="D2" s="3" t="str">
        <f>IF(ISNA(VLOOKUP(A2,Sheet2!B:B,1,0)),"Not Ordered","Ordered")</f>
        <v>Ordered</v>
      </c>
      <c r="E2" s="3">
        <f>SUMIF(Sheet2!$B$2:$B$8, VLOOKUP(A2,Sheet1!$A$2:$A$8,1,0), Sheet2!$C$2:$C$8)</f>
        <v>2</v>
      </c>
    </row>
    <row r="3" spans="1:5" x14ac:dyDescent="0.3">
      <c r="A3" s="2">
        <v>102</v>
      </c>
      <c r="B3" s="2" t="s">
        <v>4</v>
      </c>
      <c r="C3" s="2">
        <v>150</v>
      </c>
      <c r="D3" s="3" t="str">
        <f>IF(ISNA(VLOOKUP(A3,Sheet2!B:B,1,0)),"Not Ordered","Ordered")</f>
        <v>Ordered</v>
      </c>
      <c r="E3" s="3">
        <f>SUMIF(Sheet2!$B$2:$B$8, VLOOKUP(A3,Sheet1!$A$2:$A$8,1,0), Sheet2!$C$2:$C$8)</f>
        <v>5</v>
      </c>
    </row>
    <row r="4" spans="1:5" x14ac:dyDescent="0.3">
      <c r="A4" s="2">
        <v>103</v>
      </c>
      <c r="B4" s="2" t="s">
        <v>5</v>
      </c>
      <c r="C4" s="2">
        <v>200</v>
      </c>
      <c r="D4" s="3" t="str">
        <f>IF(ISNA(VLOOKUP(A4,Sheet2!B:B,1,0)),"Not Ordered","Ordered")</f>
        <v>Ordered</v>
      </c>
      <c r="E4" s="3">
        <f>SUMIF(Sheet2!$B$2:$B$8, VLOOKUP(A4,Sheet1!$A$2:$A$8,1,0), Sheet2!$C$2:$C$8)</f>
        <v>1</v>
      </c>
    </row>
    <row r="5" spans="1:5" x14ac:dyDescent="0.3">
      <c r="A5" s="2">
        <v>104</v>
      </c>
      <c r="B5" s="2" t="s">
        <v>6</v>
      </c>
      <c r="C5" s="2">
        <v>90</v>
      </c>
      <c r="D5" s="3" t="str">
        <f>IF(ISNA(VLOOKUP(A5,Sheet2!B:B,1,0)),"Not Ordered","Ordered")</f>
        <v>Ordered</v>
      </c>
      <c r="E5" s="3">
        <f>SUMIF(Sheet2!$B$2:$B$8, VLOOKUP(A5,Sheet1!$A$2:$A$8,1,0), Sheet2!$C$2:$C$8)</f>
        <v>6</v>
      </c>
    </row>
    <row r="6" spans="1:5" x14ac:dyDescent="0.3">
      <c r="A6" s="2">
        <v>105</v>
      </c>
      <c r="B6" s="2" t="s">
        <v>7</v>
      </c>
      <c r="C6" s="2">
        <v>220</v>
      </c>
      <c r="D6" s="3" t="str">
        <f>IF(ISNA(VLOOKUP(A6,Sheet2!B:B,1,0)),"Not Ordered","Ordered")</f>
        <v>Ordered</v>
      </c>
      <c r="E6" s="3">
        <f>SUMIF(Sheet2!$B$2:$B$8, VLOOKUP(A6,Sheet1!$A$2:$A$8,1,0), Sheet2!$C$2:$C$8)</f>
        <v>4</v>
      </c>
    </row>
    <row r="7" spans="1:5" x14ac:dyDescent="0.3">
      <c r="A7" s="2">
        <v>106</v>
      </c>
      <c r="B7" s="2" t="s">
        <v>8</v>
      </c>
      <c r="C7" s="2">
        <v>130</v>
      </c>
      <c r="D7" s="3" t="str">
        <f>IF(ISNA(VLOOKUP(A7,Sheet2!B:B,1,0)),"Not Ordered","Ordered")</f>
        <v>Ordered</v>
      </c>
      <c r="E7" s="3">
        <f>SUMIF(Sheet2!$B$2:$B$8, VLOOKUP(A7,Sheet1!$A$2:$A$8,1,0), Sheet2!$C$2:$C$8)</f>
        <v>3</v>
      </c>
    </row>
    <row r="8" spans="1:5" x14ac:dyDescent="0.3">
      <c r="A8" s="2">
        <v>108</v>
      </c>
      <c r="B8" s="2" t="s">
        <v>18</v>
      </c>
      <c r="C8" s="2">
        <v>180</v>
      </c>
      <c r="D8" s="3" t="str">
        <f>IF(ISNA(VLOOKUP(A8,Sheet2!B:B,1,0)),"Not Ordered","Ordered")</f>
        <v>Not Ordered</v>
      </c>
      <c r="E8" s="3">
        <f>SUMIF(Sheet2!$B$2:$B$8, VLOOKUP(A8,Sheet1!$A$2:$A$8,1,0), Sheet2!$C$2:$C$8)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E4B7-B528-4249-9800-6B49663443C0}">
  <dimension ref="A1:H15"/>
  <sheetViews>
    <sheetView tabSelected="1" workbookViewId="0">
      <selection activeCell="H13" sqref="H13"/>
    </sheetView>
  </sheetViews>
  <sheetFormatPr defaultRowHeight="14.4" x14ac:dyDescent="0.3"/>
  <cols>
    <col min="2" max="2" width="9.44140625" bestFit="1" customWidth="1"/>
    <col min="4" max="4" width="13.21875" bestFit="1" customWidth="1"/>
    <col min="6" max="6" width="11.21875" customWidth="1"/>
    <col min="7" max="7" width="9.5546875" bestFit="1" customWidth="1"/>
    <col min="8" max="8" width="15.109375" bestFit="1" customWidth="1"/>
  </cols>
  <sheetData>
    <row r="1" spans="1:8" x14ac:dyDescent="0.3">
      <c r="A1" s="1" t="s">
        <v>9</v>
      </c>
      <c r="B1" s="1" t="s">
        <v>0</v>
      </c>
      <c r="C1" s="1" t="s">
        <v>10</v>
      </c>
      <c r="D1" s="1" t="s">
        <v>11</v>
      </c>
      <c r="E1" s="4" t="s">
        <v>2</v>
      </c>
      <c r="F1" s="4" t="s">
        <v>12</v>
      </c>
      <c r="G1" s="4" t="s">
        <v>13</v>
      </c>
      <c r="H1" s="1" t="s">
        <v>15</v>
      </c>
    </row>
    <row r="2" spans="1:8" x14ac:dyDescent="0.3">
      <c r="A2" s="2">
        <v>1</v>
      </c>
      <c r="B2" s="2">
        <v>101</v>
      </c>
      <c r="C2" s="2">
        <v>2</v>
      </c>
      <c r="D2" s="3" t="str">
        <f>VLOOKUP(B2,Sheet1!$A$1:$C$7,2,0)</f>
        <v>Product A</v>
      </c>
      <c r="E2" s="3">
        <f>VLOOKUP(B2,Sheet1!$A$1:$C$7,3,0)</f>
        <v>120</v>
      </c>
      <c r="F2" s="3">
        <f>C2*VLOOKUP(B2,Sheet1!$A$2:$C$7,3,0)</f>
        <v>240</v>
      </c>
      <c r="G2" s="3" t="str">
        <f>IF(ISNA(VLOOKUP(B2,Sheet1!$A$1:$C$7,1,0)),"Not Found","Found")</f>
        <v>Found</v>
      </c>
      <c r="H2" s="3">
        <f>E2*0.9</f>
        <v>108</v>
      </c>
    </row>
    <row r="3" spans="1:8" x14ac:dyDescent="0.3">
      <c r="A3" s="2">
        <v>2</v>
      </c>
      <c r="B3" s="2">
        <v>103</v>
      </c>
      <c r="C3" s="2">
        <v>1</v>
      </c>
      <c r="D3" s="3" t="str">
        <f>VLOOKUP(B3,Sheet1!$A$1:$C$7,2,0)</f>
        <v>Product C</v>
      </c>
      <c r="E3" s="3">
        <f>VLOOKUP(B3,Sheet1!$A$1:$C$7,3,0)</f>
        <v>200</v>
      </c>
      <c r="F3" s="3">
        <f>C3*VLOOKUP(B3,Sheet1!$A$2:$C$7,3,0)</f>
        <v>200</v>
      </c>
      <c r="G3" s="3" t="str">
        <f>IF(ISNA(VLOOKUP(B3,Sheet1!$A$1:$C$7,1,0)),"Not Found","Found")</f>
        <v>Found</v>
      </c>
      <c r="H3" s="3">
        <f t="shared" ref="H3:H8" si="0">E3*0.9</f>
        <v>180</v>
      </c>
    </row>
    <row r="4" spans="1:8" x14ac:dyDescent="0.3">
      <c r="A4" s="2">
        <v>3</v>
      </c>
      <c r="B4" s="2">
        <v>105</v>
      </c>
      <c r="C4" s="2">
        <v>4</v>
      </c>
      <c r="D4" s="3" t="str">
        <f>VLOOKUP(B4,Sheet1!$A$1:$C$7,2,0)</f>
        <v>Product E</v>
      </c>
      <c r="E4" s="3">
        <f>VLOOKUP(B4,Sheet1!$A$1:$C$7,3,0)</f>
        <v>220</v>
      </c>
      <c r="F4" s="3">
        <f>C4*VLOOKUP(B4,Sheet1!$A$2:$C$7,3,0)</f>
        <v>880</v>
      </c>
      <c r="G4" s="3" t="str">
        <f>IF(ISNA(VLOOKUP(B4,Sheet1!$A$1:$C$7,1,0)),"Not Found","Found")</f>
        <v>Found</v>
      </c>
      <c r="H4" s="3">
        <f t="shared" si="0"/>
        <v>198</v>
      </c>
    </row>
    <row r="5" spans="1:8" x14ac:dyDescent="0.3">
      <c r="A5" s="2">
        <v>4</v>
      </c>
      <c r="B5" s="2">
        <v>106</v>
      </c>
      <c r="C5" s="2">
        <v>3</v>
      </c>
      <c r="D5" s="3" t="str">
        <f>VLOOKUP(B5,Sheet1!$A$1:$C$7,2,0)</f>
        <v>Product F</v>
      </c>
      <c r="E5" s="3">
        <f>VLOOKUP(B5,Sheet1!$A$1:$C$7,3,0)</f>
        <v>130</v>
      </c>
      <c r="F5" s="3">
        <f>C5*VLOOKUP(B5,Sheet1!$A$2:$C$7,3,0)</f>
        <v>390</v>
      </c>
      <c r="G5" s="3" t="str">
        <f>IF(ISNA(VLOOKUP(B5,Sheet1!$A$1:$C$7,1,0)),"Not Found","Found")</f>
        <v>Found</v>
      </c>
      <c r="H5" s="3">
        <f t="shared" si="0"/>
        <v>117</v>
      </c>
    </row>
    <row r="6" spans="1:8" x14ac:dyDescent="0.3">
      <c r="A6" s="2">
        <v>5</v>
      </c>
      <c r="B6" s="2">
        <v>102</v>
      </c>
      <c r="C6" s="2">
        <v>5</v>
      </c>
      <c r="D6" s="3" t="str">
        <f>VLOOKUP(B6,Sheet1!$A$1:$C$7,2,0)</f>
        <v>Product B</v>
      </c>
      <c r="E6" s="3">
        <f>VLOOKUP(B6,Sheet1!$A$1:$C$7,3,0)</f>
        <v>150</v>
      </c>
      <c r="F6" s="3">
        <f>C6*VLOOKUP(B6,Sheet1!$A$2:$C$7,3,0)</f>
        <v>750</v>
      </c>
      <c r="G6" s="3" t="str">
        <f>IF(ISNA(VLOOKUP(B6,Sheet1!$A$1:$C$7,1,0)),"Not Found","Found")</f>
        <v>Found</v>
      </c>
      <c r="H6" s="3">
        <f t="shared" si="0"/>
        <v>135</v>
      </c>
    </row>
    <row r="7" spans="1:8" x14ac:dyDescent="0.3">
      <c r="A7" s="2">
        <v>6</v>
      </c>
      <c r="B7" s="2">
        <v>104</v>
      </c>
      <c r="C7" s="2">
        <v>6</v>
      </c>
      <c r="D7" s="3" t="str">
        <f>VLOOKUP(B7,Sheet1!$A$1:$C$7,2,0)</f>
        <v>Product D</v>
      </c>
      <c r="E7" s="3">
        <f>VLOOKUP(B7,Sheet1!$A$1:$C$7,3,0)</f>
        <v>90</v>
      </c>
      <c r="F7" s="3">
        <f>C7*VLOOKUP(B7,Sheet1!$A$2:$C$7,3,0)</f>
        <v>540</v>
      </c>
      <c r="G7" s="3" t="str">
        <f>IF(ISNA(VLOOKUP(B7,Sheet1!$A$1:$C$7,1,0)),"Not Found","Found")</f>
        <v>Found</v>
      </c>
      <c r="H7" s="3">
        <f t="shared" si="0"/>
        <v>81</v>
      </c>
    </row>
    <row r="8" spans="1:8" x14ac:dyDescent="0.3">
      <c r="A8" s="2">
        <v>7</v>
      </c>
      <c r="B8" s="2">
        <v>107</v>
      </c>
      <c r="C8" s="2">
        <v>7</v>
      </c>
      <c r="D8" s="3" t="s">
        <v>14</v>
      </c>
      <c r="E8" s="6">
        <v>110</v>
      </c>
      <c r="F8" s="6">
        <v>770</v>
      </c>
      <c r="G8" s="3" t="str">
        <f>IF(ISNA(VLOOKUP(B8,Sheet1!$A$1:$C$7,1,0)),"Not Found","Found")</f>
        <v>Not Found</v>
      </c>
      <c r="H8" s="3">
        <f t="shared" si="0"/>
        <v>99</v>
      </c>
    </row>
    <row r="13" spans="1:8" x14ac:dyDescent="0.3">
      <c r="E13" s="5" t="s">
        <v>16</v>
      </c>
      <c r="F13" s="5"/>
      <c r="G13">
        <f>MAX(F2:F8)</f>
        <v>880</v>
      </c>
    </row>
    <row r="15" spans="1:8" x14ac:dyDescent="0.3">
      <c r="E15" s="7"/>
      <c r="F15" s="7"/>
    </row>
  </sheetData>
  <mergeCells count="1"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Moumita Akhuli</cp:lastModifiedBy>
  <dcterms:created xsi:type="dcterms:W3CDTF">2026-01-12T09:13:36Z</dcterms:created>
  <dcterms:modified xsi:type="dcterms:W3CDTF">2026-01-13T16:20:51Z</dcterms:modified>
</cp:coreProperties>
</file>