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̀i liệu\Word Documents\"/>
    </mc:Choice>
  </mc:AlternateContent>
  <xr:revisionPtr revIDLastSave="0" documentId="13_ncr:1_{92ABFF77-1211-43C9-A27C-D5011057786B}" xr6:coauthVersionLast="47" xr6:coauthVersionMax="47" xr10:uidLastSave="{00000000-0000-0000-0000-000000000000}"/>
  <bookViews>
    <workbookView xWindow="-108" yWindow="-108" windowWidth="23256" windowHeight="12456" xr2:uid="{E4A7B5F4-E348-4254-8048-1B9A6476B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 a="1"/>
  <c r="B32" i="1" s="1"/>
  <c r="N35" i="1"/>
  <c r="N34" i="1"/>
  <c r="N33" i="1"/>
  <c r="N32" i="1"/>
  <c r="N31" i="1"/>
  <c r="H23" i="1" a="1"/>
  <c r="H23" i="1" s="1"/>
  <c r="N30" i="1"/>
  <c r="H22" i="1" a="1"/>
  <c r="H22" i="1" s="1"/>
  <c r="H21" i="1" a="1"/>
  <c r="H21" i="1" s="1"/>
  <c r="H20" i="1" a="1"/>
  <c r="H20" i="1" s="1"/>
  <c r="H19" i="1" a="1"/>
  <c r="H19" i="1" s="1"/>
  <c r="H18" i="1" a="1"/>
  <c r="H18" i="1" s="1"/>
  <c r="H35" i="1"/>
  <c r="H34" i="1"/>
  <c r="H33" i="1"/>
  <c r="H32" i="1"/>
  <c r="H31" i="1"/>
  <c r="H30" i="1"/>
  <c r="B23" i="1" a="1"/>
  <c r="B23" i="1" s="1"/>
  <c r="B35" i="1" a="1"/>
  <c r="B35" i="1" s="1"/>
  <c r="B22" i="1" a="1"/>
  <c r="B22" i="1" s="1"/>
  <c r="B34" i="1" a="1"/>
  <c r="B34" i="1" s="1"/>
  <c r="B21" i="1" a="1"/>
  <c r="B21" i="1" s="1"/>
  <c r="B33" i="1" a="1"/>
  <c r="B33" i="1" s="1"/>
  <c r="B20" i="1" a="1"/>
  <c r="B20" i="1" s="1"/>
  <c r="B19" i="1" a="1"/>
  <c r="B19" i="1" s="1"/>
  <c r="B31" i="1" a="1"/>
  <c r="B31" i="1" s="1"/>
  <c r="B18" i="1" a="1"/>
  <c r="B18" i="1" s="1"/>
  <c r="B30" i="1" a="1"/>
  <c r="B30" i="1" s="1"/>
  <c r="N23" i="1" a="1"/>
  <c r="N23" i="1" s="1"/>
  <c r="N11" i="1"/>
  <c r="N22" i="1" a="1"/>
  <c r="N22" i="1" s="1"/>
  <c r="N10" i="1"/>
  <c r="N21" i="1" a="1"/>
  <c r="N21" i="1" s="1"/>
  <c r="N9" i="1"/>
  <c r="N20" i="1" a="1"/>
  <c r="N20" i="1" s="1"/>
  <c r="N8" i="1"/>
  <c r="N19" i="1" a="1"/>
  <c r="N19" i="1" s="1"/>
  <c r="N7" i="1"/>
  <c r="H6" i="1" a="1"/>
  <c r="H6" i="1" s="1"/>
  <c r="N18" i="1" a="1"/>
  <c r="N18" i="1" s="1"/>
  <c r="N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<sst xmlns="http://schemas.openxmlformats.org/spreadsheetml/2006/main" count="33" uniqueCount="31">
  <si>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</si>
  <si>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</si>
  <si>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</si>
  <si>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</si>
  <si>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</si>
  <si>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</si>
  <si>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</si>
  <si>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</si>
  <si>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</si>
  <si>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</si>
  <si>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</si>
  <si>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</si>
  <si>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</si>
  <si>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</si>
  <si>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</si>
  <si>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Q. No. 1</t>
  </si>
  <si>
    <t>Q. No. 2</t>
  </si>
  <si>
    <t>Use the IF function to determine if a product is eligible for a regional bonus. Products in the "North" region with sales over 200 are eligible.</t>
  </si>
  <si>
    <t>Q. No. 3</t>
  </si>
  <si>
    <t>Use nested IF functions to assign a commission rate based on sales. Sales &gt;= 200 get a 10% commission, sales &gt;= 150 get a 7% commission, and others get a 5% commission.</t>
  </si>
  <si>
    <t xml:space="preserve">Use the IF function to evaluate whether each product met its sales target. </t>
  </si>
  <si>
    <t>Use the IF function to calculate a bonus amount. If sales met or exceeded the target, the bonus is 10% of the sales; otherwise, it's 5%.</t>
  </si>
  <si>
    <t>Q. No. 4</t>
  </si>
  <si>
    <t>Use the IF function to categorize sales performance as "Excellent" (&gt;=200), "Good" (&gt;=150), or "Needs Improvement" (&lt;150).</t>
  </si>
  <si>
    <t>Q. No. 5</t>
  </si>
  <si>
    <t>Use the IF function to assign a price tier based on the sales value. "High" for sales &gt; 200, "Medium" for sales between 100 and 200, and "Low" for sales &lt; 100.</t>
  </si>
  <si>
    <t>Q. No. 6</t>
  </si>
  <si>
    <t>Q. No. 7</t>
  </si>
  <si>
    <t>Use the IF function to calculate the year-end bonus. If sales &gt;= 150 and region is "North", the bonus is $500, otherwise, it's $300.</t>
  </si>
  <si>
    <t>Q. No. 8</t>
  </si>
  <si>
    <t>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</si>
</sst>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2" borderId="1" xfId="1" applyNumberFormat="1" applyFont="1" applyFill="1" applyBorder="1"/>
    <xf numFmtId="164" fontId="0" fillId="2" borderId="8" xfId="1" applyNumberFormat="1" applyFont="1" applyFill="1" applyBorder="1"/>
    <xf numFmtId="0" fontId="0" fillId="2" borderId="1" xfId="0" applyFill="1" applyBorder="1"/>
    <xf numFmtId="0" fontId="0" fillId="2" borderId="8" xfId="0" applyFill="1" applyBorder="1"/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top" wrapText="1"/>
    </xf>
    <xf numFmtId="0" fontId="2" fillId="3" borderId="12" xfId="0" applyFont="1" applyFill="1" applyBorder="1" applyAlignment="1">
      <alignment vertical="top" wrapText="1"/>
    </xf>
    <xf numFmtId="0" fontId="2" fillId="3" borderId="13" xfId="0" applyFont="1" applyFill="1" applyBorder="1"/>
    <xf numFmtId="0" fontId="2" fillId="3" borderId="14" xfId="0" applyFont="1" applyFill="1" applyBorder="1" applyAlignment="1">
      <alignment vertical="top" wrapText="1"/>
    </xf>
    <xf numFmtId="0" fontId="2" fillId="3" borderId="10" xfId="0" applyFont="1" applyFill="1" applyBorder="1"/>
    <xf numFmtId="0" fontId="2" fillId="3" borderId="0" xfId="0" applyFont="1" applyFill="1" applyBorder="1" applyAlignment="1">
      <alignment vertical="top" wrapText="1"/>
    </xf>
    <xf numFmtId="0" fontId="2" fillId="3" borderId="18" xfId="0" applyFont="1" applyFill="1" applyBorder="1"/>
    <xf numFmtId="0" fontId="2" fillId="3" borderId="19" xfId="0" applyFont="1" applyFill="1" applyBorder="1" applyAlignment="1">
      <alignment vertical="top" wrapText="1"/>
    </xf>
    <xf numFmtId="0" fontId="2" fillId="3" borderId="20" xfId="0" applyFont="1" applyFill="1" applyBorder="1" applyAlignment="1">
      <alignment vertical="top" wrapText="1"/>
    </xf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434E-1466-4B01-98B1-1DDB0BFD6B71}">
  <dimension ref="A1:W35"/>
  <sheetViews>
    <sheetView tabSelected="1" workbookViewId="0">
      <selection activeCell="E10" sqref="E10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10.33203125" customWidth="1"/>
    <col min="4" max="4" width="11.21875" customWidth="1"/>
    <col min="5" max="5" width="10.77734375" customWidth="1"/>
    <col min="7" max="7" width="10.44140625" customWidth="1"/>
    <col min="9" max="9" width="9.5546875" customWidth="1"/>
    <col min="10" max="10" width="11.6640625" customWidth="1"/>
    <col min="14" max="14" width="17.77734375" bestFit="1" customWidth="1"/>
    <col min="24" max="24" width="20.88671875" bestFit="1" customWidth="1"/>
    <col min="26" max="26" width="20.88671875" bestFit="1" customWidth="1"/>
  </cols>
  <sheetData>
    <row r="1" spans="1:20" x14ac:dyDescent="0.3">
      <c r="A1" s="28" t="s">
        <v>0</v>
      </c>
      <c r="B1" s="29" t="s">
        <v>1</v>
      </c>
      <c r="C1" s="29" t="s">
        <v>2</v>
      </c>
      <c r="D1" s="29" t="s">
        <v>3</v>
      </c>
      <c r="E1" s="30" t="s">
        <v>4</v>
      </c>
      <c r="G1" s="17" t="s">
        <v>15</v>
      </c>
      <c r="H1" s="13" t="s">
        <v>20</v>
      </c>
      <c r="I1" s="13"/>
      <c r="J1" s="13"/>
      <c r="K1" s="14"/>
      <c r="M1" s="17" t="s">
        <v>16</v>
      </c>
      <c r="N1" s="13" t="s">
        <v>17</v>
      </c>
      <c r="O1" s="13"/>
      <c r="P1" s="13"/>
      <c r="Q1" s="14"/>
      <c r="R1" s="2"/>
      <c r="S1" s="2"/>
      <c r="T1" s="2"/>
    </row>
    <row r="2" spans="1:20" x14ac:dyDescent="0.3">
      <c r="A2" s="22">
        <v>101</v>
      </c>
      <c r="B2" s="23" t="s">
        <v>5</v>
      </c>
      <c r="C2" s="23">
        <v>120</v>
      </c>
      <c r="D2" s="23">
        <v>150</v>
      </c>
      <c r="E2" s="24" t="s">
        <v>6</v>
      </c>
      <c r="G2" s="15"/>
      <c r="H2" s="18"/>
      <c r="I2" s="18"/>
      <c r="J2" s="18"/>
      <c r="K2" s="16"/>
      <c r="M2" s="15"/>
      <c r="N2" s="18"/>
      <c r="O2" s="18"/>
      <c r="P2" s="18"/>
      <c r="Q2" s="16"/>
      <c r="R2" s="2"/>
      <c r="S2" s="2"/>
      <c r="T2" s="2"/>
    </row>
    <row r="3" spans="1:20" x14ac:dyDescent="0.3">
      <c r="A3" s="22">
        <v>102</v>
      </c>
      <c r="B3" s="23" t="s">
        <v>7</v>
      </c>
      <c r="C3" s="23">
        <v>150</v>
      </c>
      <c r="D3" s="23">
        <v>140</v>
      </c>
      <c r="E3" s="24" t="s">
        <v>8</v>
      </c>
      <c r="G3" s="15"/>
      <c r="H3" s="18"/>
      <c r="I3" s="18"/>
      <c r="J3" s="18"/>
      <c r="K3" s="16"/>
      <c r="M3" s="15"/>
      <c r="N3" s="18"/>
      <c r="O3" s="18"/>
      <c r="P3" s="18"/>
      <c r="Q3" s="16"/>
    </row>
    <row r="4" spans="1:20" x14ac:dyDescent="0.3">
      <c r="A4" s="22">
        <v>103</v>
      </c>
      <c r="B4" s="23" t="s">
        <v>9</v>
      </c>
      <c r="C4" s="23">
        <v>200</v>
      </c>
      <c r="D4" s="23">
        <v>200</v>
      </c>
      <c r="E4" s="24" t="s">
        <v>10</v>
      </c>
      <c r="G4" s="19"/>
      <c r="H4" s="20"/>
      <c r="I4" s="20"/>
      <c r="J4" s="20"/>
      <c r="K4" s="21"/>
      <c r="M4" s="19"/>
      <c r="N4" s="20"/>
      <c r="O4" s="20"/>
      <c r="P4" s="20"/>
      <c r="Q4" s="21"/>
    </row>
    <row r="5" spans="1:20" x14ac:dyDescent="0.3">
      <c r="A5" s="22">
        <v>104</v>
      </c>
      <c r="B5" s="23" t="s">
        <v>11</v>
      </c>
      <c r="C5" s="23">
        <v>90</v>
      </c>
      <c r="D5" s="23">
        <v>100</v>
      </c>
      <c r="E5" s="24" t="s">
        <v>12</v>
      </c>
      <c r="G5" s="3"/>
      <c r="K5" s="4"/>
      <c r="M5" s="3"/>
      <c r="Q5" s="4"/>
    </row>
    <row r="6" spans="1:20" x14ac:dyDescent="0.3">
      <c r="A6" s="22">
        <v>105</v>
      </c>
      <c r="B6" s="23" t="s">
        <v>13</v>
      </c>
      <c r="C6" s="23">
        <v>220</v>
      </c>
      <c r="D6" s="23">
        <v>210</v>
      </c>
      <c r="E6" s="24" t="s">
        <v>6</v>
      </c>
      <c r="G6" s="3"/>
      <c r="H6" s="10" t="b" cm="1">
        <f t="array" ref="H6:H11">IF(C2:C7=D2:D7,TRUE,FALSE)</f>
        <v>0</v>
      </c>
      <c r="K6" s="4"/>
      <c r="M6" s="3"/>
      <c r="N6" s="10" t="str">
        <f t="shared" ref="N6:N11" si="0">IF(AND(E2="North",C2&gt;=200),"Approved","Do better next time")</f>
        <v>Do better next time</v>
      </c>
      <c r="Q6" s="4"/>
    </row>
    <row r="7" spans="1:20" ht="15" thickBot="1" x14ac:dyDescent="0.35">
      <c r="A7" s="25">
        <v>106</v>
      </c>
      <c r="B7" s="26" t="s">
        <v>14</v>
      </c>
      <c r="C7" s="26">
        <v>130</v>
      </c>
      <c r="D7" s="26">
        <v>160</v>
      </c>
      <c r="E7" s="27" t="s">
        <v>8</v>
      </c>
      <c r="G7" s="3"/>
      <c r="H7" s="10" t="b">
        <v>0</v>
      </c>
      <c r="K7" s="4"/>
      <c r="M7" s="3"/>
      <c r="N7" s="10" t="str">
        <f t="shared" si="0"/>
        <v>Do better next time</v>
      </c>
      <c r="Q7" s="4"/>
    </row>
    <row r="8" spans="1:20" x14ac:dyDescent="0.3">
      <c r="G8" s="3"/>
      <c r="H8" s="10" t="b">
        <v>1</v>
      </c>
      <c r="K8" s="4"/>
      <c r="M8" s="3"/>
      <c r="N8" s="10" t="str">
        <f t="shared" si="0"/>
        <v>Do better next time</v>
      </c>
      <c r="Q8" s="4"/>
    </row>
    <row r="9" spans="1:20" x14ac:dyDescent="0.3">
      <c r="G9" s="3"/>
      <c r="H9" s="10" t="b">
        <v>0</v>
      </c>
      <c r="K9" s="4"/>
      <c r="M9" s="3"/>
      <c r="N9" s="10" t="str">
        <f t="shared" si="0"/>
        <v>Do better next time</v>
      </c>
      <c r="Q9" s="4"/>
    </row>
    <row r="10" spans="1:20" x14ac:dyDescent="0.3">
      <c r="G10" s="3"/>
      <c r="H10" s="10" t="b">
        <v>0</v>
      </c>
      <c r="K10" s="4"/>
      <c r="M10" s="3"/>
      <c r="N10" s="10" t="str">
        <f t="shared" si="0"/>
        <v>Approved</v>
      </c>
      <c r="Q10" s="4"/>
    </row>
    <row r="11" spans="1:20" ht="15" thickBot="1" x14ac:dyDescent="0.35">
      <c r="G11" s="5"/>
      <c r="H11" s="11" t="b">
        <v>0</v>
      </c>
      <c r="I11" s="6"/>
      <c r="J11" s="6"/>
      <c r="K11" s="7"/>
      <c r="M11" s="5"/>
      <c r="N11" s="11" t="str">
        <f t="shared" si="0"/>
        <v>Do better next time</v>
      </c>
      <c r="O11" s="6"/>
      <c r="P11" s="6"/>
      <c r="Q11" s="7"/>
    </row>
    <row r="12" spans="1:20" ht="15" thickBot="1" x14ac:dyDescent="0.35"/>
    <row r="13" spans="1:20" x14ac:dyDescent="0.3">
      <c r="A13" s="12" t="s">
        <v>18</v>
      </c>
      <c r="B13" s="13" t="s">
        <v>19</v>
      </c>
      <c r="C13" s="13"/>
      <c r="D13" s="13"/>
      <c r="E13" s="14"/>
      <c r="F13" s="1"/>
      <c r="G13" s="12" t="s">
        <v>22</v>
      </c>
      <c r="H13" s="13" t="s">
        <v>21</v>
      </c>
      <c r="I13" s="13"/>
      <c r="J13" s="13"/>
      <c r="K13" s="14"/>
      <c r="L13" s="1"/>
      <c r="M13" s="12" t="s">
        <v>24</v>
      </c>
      <c r="N13" s="13" t="s">
        <v>23</v>
      </c>
      <c r="O13" s="13"/>
      <c r="P13" s="13"/>
      <c r="Q13" s="14"/>
    </row>
    <row r="14" spans="1:20" x14ac:dyDescent="0.3">
      <c r="A14" s="15"/>
      <c r="B14" s="18"/>
      <c r="C14" s="18"/>
      <c r="D14" s="18"/>
      <c r="E14" s="16"/>
      <c r="G14" s="15"/>
      <c r="H14" s="18"/>
      <c r="I14" s="18"/>
      <c r="J14" s="18"/>
      <c r="K14" s="16"/>
      <c r="M14" s="15"/>
      <c r="N14" s="18"/>
      <c r="O14" s="18"/>
      <c r="P14" s="18"/>
      <c r="Q14" s="16"/>
    </row>
    <row r="15" spans="1:20" x14ac:dyDescent="0.3">
      <c r="A15" s="15"/>
      <c r="B15" s="18"/>
      <c r="C15" s="18"/>
      <c r="D15" s="18"/>
      <c r="E15" s="16"/>
      <c r="G15" s="15"/>
      <c r="H15" s="18"/>
      <c r="I15" s="18"/>
      <c r="J15" s="18"/>
      <c r="K15" s="16"/>
      <c r="M15" s="15"/>
      <c r="N15" s="18"/>
      <c r="O15" s="18"/>
      <c r="P15" s="18"/>
      <c r="Q15" s="16"/>
    </row>
    <row r="16" spans="1:20" x14ac:dyDescent="0.3">
      <c r="A16" s="19"/>
      <c r="B16" s="20"/>
      <c r="C16" s="20"/>
      <c r="D16" s="20"/>
      <c r="E16" s="21"/>
      <c r="G16" s="19"/>
      <c r="H16" s="20"/>
      <c r="I16" s="20"/>
      <c r="J16" s="20"/>
      <c r="K16" s="21"/>
      <c r="M16" s="19"/>
      <c r="N16" s="20"/>
      <c r="O16" s="20"/>
      <c r="P16" s="20"/>
      <c r="Q16" s="21"/>
    </row>
    <row r="17" spans="1:23" x14ac:dyDescent="0.3">
      <c r="A17" s="3"/>
      <c r="E17" s="4"/>
      <c r="G17" s="3"/>
      <c r="K17" s="4"/>
      <c r="M17" s="3"/>
      <c r="Q17" s="4"/>
    </row>
    <row r="18" spans="1:23" x14ac:dyDescent="0.3">
      <c r="A18" s="3"/>
      <c r="B18" s="8" cm="1">
        <f t="array" ref="B18">_xlfn.IFS(C2&gt;=200,10%,C2&gt;=150,7%,C2&lt;150,5%)</f>
        <v>0.05</v>
      </c>
      <c r="E18" s="4"/>
      <c r="G18" s="3"/>
      <c r="H18" s="10" cm="1">
        <f t="array" ref="H18">_xlfn.IFS(C2&gt;=D2,10%,C2&lt;D2,5%)</f>
        <v>0.05</v>
      </c>
      <c r="K18" s="4"/>
      <c r="M18" s="3"/>
      <c r="N18" s="10" t="str" cm="1">
        <f t="array" ref="N18">_xlfn.IFS(C2&gt;=200,"Excellent",C2&gt;=150,"Good",C2&lt;150,"Needs Improvement")</f>
        <v>Needs Improvement</v>
      </c>
      <c r="Q18" s="4"/>
    </row>
    <row r="19" spans="1:23" x14ac:dyDescent="0.3">
      <c r="A19" s="3"/>
      <c r="B19" s="8" cm="1">
        <f t="array" ref="B19">_xlfn.IFS(C3&gt;=200,10%,C3&gt;=150,7%,C3&lt;150,5%)</f>
        <v>7.0000000000000007E-2</v>
      </c>
      <c r="E19" s="4"/>
      <c r="G19" s="3"/>
      <c r="H19" s="10" cm="1">
        <f t="array" ref="H19">_xlfn.IFS(C3&gt;=D3,10%,C3&lt;D3,5%)</f>
        <v>0.1</v>
      </c>
      <c r="K19" s="4"/>
      <c r="M19" s="3"/>
      <c r="N19" s="10" t="str" cm="1">
        <f t="array" ref="N19">_xlfn.IFS(C3&gt;=200,"Excellent",C3&gt;=150,"Good",C3&lt;150,"Needs Improvement")</f>
        <v>Good</v>
      </c>
      <c r="Q19" s="4"/>
      <c r="U19" s="1"/>
      <c r="V19" s="1"/>
      <c r="W19" s="1"/>
    </row>
    <row r="20" spans="1:23" x14ac:dyDescent="0.3">
      <c r="A20" s="3"/>
      <c r="B20" s="8" cm="1">
        <f t="array" ref="B20">_xlfn.IFS(C4&gt;=200,10%,C4&gt;=150,7%,C4&lt;150,5%)</f>
        <v>0.1</v>
      </c>
      <c r="E20" s="4"/>
      <c r="G20" s="3"/>
      <c r="H20" s="10" cm="1">
        <f t="array" ref="H20">_xlfn.IFS(C4&gt;=D4,10%,C4&lt;D4,5%)</f>
        <v>0.1</v>
      </c>
      <c r="K20" s="4"/>
      <c r="M20" s="3"/>
      <c r="N20" s="10" t="str" cm="1">
        <f t="array" ref="N20">_xlfn.IFS(C4&gt;=200,"Excellent",C4&gt;=150,"Good",C4&lt;150,"Needs Improvement")</f>
        <v>Excellent</v>
      </c>
      <c r="Q20" s="4"/>
    </row>
    <row r="21" spans="1:23" x14ac:dyDescent="0.3">
      <c r="A21" s="3"/>
      <c r="B21" s="8" cm="1">
        <f t="array" ref="B21">_xlfn.IFS(C5&gt;=200,10%,C5&gt;=150,7%,C5&lt;150,5%)</f>
        <v>0.05</v>
      </c>
      <c r="E21" s="4"/>
      <c r="G21" s="3"/>
      <c r="H21" s="10" cm="1">
        <f t="array" ref="H21">_xlfn.IFS(C5&gt;=D5,10%,C5&lt;D5,5%)</f>
        <v>0.05</v>
      </c>
      <c r="K21" s="4"/>
      <c r="M21" s="3"/>
      <c r="N21" s="10" t="str" cm="1">
        <f t="array" ref="N21">_xlfn.IFS(C5&gt;=200,"Excellent",C5&gt;=150,"Good",C5&lt;150,"Needs Improvement")</f>
        <v>Needs Improvement</v>
      </c>
      <c r="Q21" s="4"/>
    </row>
    <row r="22" spans="1:23" x14ac:dyDescent="0.3">
      <c r="A22" s="3"/>
      <c r="B22" s="8" cm="1">
        <f t="array" ref="B22">_xlfn.IFS(C6&gt;=200,10%,C6&gt;=150,7%,C6&lt;150,5%)</f>
        <v>0.1</v>
      </c>
      <c r="E22" s="4"/>
      <c r="G22" s="3"/>
      <c r="H22" s="10" cm="1">
        <f t="array" ref="H22">_xlfn.IFS(C6&gt;=D6,10%,C6&lt;D6,5%)</f>
        <v>0.1</v>
      </c>
      <c r="K22" s="4"/>
      <c r="M22" s="3"/>
      <c r="N22" s="10" t="str" cm="1">
        <f t="array" ref="N22">_xlfn.IFS(C6&gt;=200,"Excellent",C6&gt;=150,"Good",C6&lt;150,"Needs Improvement")</f>
        <v>Excellent</v>
      </c>
      <c r="Q22" s="4"/>
    </row>
    <row r="23" spans="1:23" ht="15" thickBot="1" x14ac:dyDescent="0.35">
      <c r="A23" s="5"/>
      <c r="B23" s="9" cm="1">
        <f t="array" ref="B23">_xlfn.IFS(C7&gt;=200,10%,C7&gt;=150,7%,C7&lt;150,5%)</f>
        <v>0.05</v>
      </c>
      <c r="C23" s="6"/>
      <c r="D23" s="6"/>
      <c r="E23" s="7"/>
      <c r="G23" s="5"/>
      <c r="H23" s="11" cm="1">
        <f t="array" ref="H23">_xlfn.IFS(C7&gt;=D7,10%,C7&lt;D7,5%)</f>
        <v>0.05</v>
      </c>
      <c r="I23" s="6"/>
      <c r="J23" s="6"/>
      <c r="K23" s="7"/>
      <c r="M23" s="5"/>
      <c r="N23" s="11" t="str" cm="1">
        <f t="array" ref="N23">_xlfn.IFS(C7&gt;=200,"Excellent",C7&gt;=150,"Good",C7&lt;150,"Needs Improvement")</f>
        <v>Needs Improvement</v>
      </c>
      <c r="O23" s="6"/>
      <c r="P23" s="6"/>
      <c r="Q23" s="7"/>
    </row>
    <row r="24" spans="1:23" ht="15" thickBot="1" x14ac:dyDescent="0.35"/>
    <row r="25" spans="1:23" x14ac:dyDescent="0.3">
      <c r="A25" s="17" t="s">
        <v>26</v>
      </c>
      <c r="B25" s="13" t="s">
        <v>25</v>
      </c>
      <c r="C25" s="13"/>
      <c r="D25" s="13"/>
      <c r="E25" s="14"/>
      <c r="G25" s="17" t="s">
        <v>27</v>
      </c>
      <c r="H25" s="13" t="s">
        <v>28</v>
      </c>
      <c r="I25" s="13"/>
      <c r="J25" s="13"/>
      <c r="K25" s="14"/>
      <c r="M25" s="17" t="s">
        <v>29</v>
      </c>
      <c r="N25" s="13" t="s">
        <v>30</v>
      </c>
      <c r="O25" s="13"/>
      <c r="P25" s="13"/>
      <c r="Q25" s="14"/>
    </row>
    <row r="26" spans="1:23" x14ac:dyDescent="0.3">
      <c r="A26" s="15"/>
      <c r="B26" s="18"/>
      <c r="C26" s="18"/>
      <c r="D26" s="18"/>
      <c r="E26" s="16"/>
      <c r="G26" s="15"/>
      <c r="H26" s="18"/>
      <c r="I26" s="18"/>
      <c r="J26" s="18"/>
      <c r="K26" s="16"/>
      <c r="M26" s="15"/>
      <c r="N26" s="18"/>
      <c r="O26" s="18"/>
      <c r="P26" s="18"/>
      <c r="Q26" s="16"/>
    </row>
    <row r="27" spans="1:23" x14ac:dyDescent="0.3">
      <c r="A27" s="15"/>
      <c r="B27" s="18"/>
      <c r="C27" s="18"/>
      <c r="D27" s="18"/>
      <c r="E27" s="16"/>
      <c r="G27" s="15"/>
      <c r="H27" s="18"/>
      <c r="I27" s="18"/>
      <c r="J27" s="18"/>
      <c r="K27" s="16"/>
      <c r="M27" s="15"/>
      <c r="N27" s="18"/>
      <c r="O27" s="18"/>
      <c r="P27" s="18"/>
      <c r="Q27" s="16"/>
    </row>
    <row r="28" spans="1:23" ht="14.4" customHeight="1" x14ac:dyDescent="0.3">
      <c r="A28" s="19"/>
      <c r="B28" s="20"/>
      <c r="C28" s="20"/>
      <c r="D28" s="20"/>
      <c r="E28" s="21"/>
      <c r="G28" s="19"/>
      <c r="H28" s="20"/>
      <c r="I28" s="20"/>
      <c r="J28" s="20"/>
      <c r="K28" s="21"/>
      <c r="M28" s="19"/>
      <c r="N28" s="20"/>
      <c r="O28" s="20"/>
      <c r="P28" s="20"/>
      <c r="Q28" s="21"/>
    </row>
    <row r="29" spans="1:23" x14ac:dyDescent="0.3">
      <c r="A29" s="3"/>
      <c r="E29" s="4"/>
      <c r="G29" s="3"/>
      <c r="K29" s="4"/>
      <c r="M29" s="3"/>
      <c r="Q29" s="4"/>
    </row>
    <row r="30" spans="1:23" x14ac:dyDescent="0.3">
      <c r="A30" s="3"/>
      <c r="B30" s="10" t="str" cm="1">
        <f t="array" ref="B30">_xlfn.IFS(C2&gt;200,"High",AND(100&lt;C2,200&gt;C2),"Medium",C2&lt;100,"Low")</f>
        <v>Medium</v>
      </c>
      <c r="E30" s="4"/>
      <c r="G30" s="3"/>
      <c r="H30" s="10">
        <f t="shared" ref="H30:H35" si="1">IF(AND(C2&gt;=150,E2="North"),500,300)</f>
        <v>300</v>
      </c>
      <c r="K30" s="4"/>
      <c r="M30" s="3"/>
      <c r="N30" s="10" t="str">
        <f t="shared" ref="N30:N35" si="2">IF(C2&gt;=PERCENTILE($C$2:$C$7,0.75),"High Performer"," N/A")</f>
        <v xml:space="preserve"> N/A</v>
      </c>
      <c r="Q30" s="4"/>
    </row>
    <row r="31" spans="1:23" x14ac:dyDescent="0.3">
      <c r="A31" s="3"/>
      <c r="B31" s="10" t="str" cm="1">
        <f t="array" ref="B31">_xlfn.IFS(C3&gt;200,"High",AND(100&lt;C3,200&gt;C3),"Medium",C3&lt;100,"Low")</f>
        <v>Medium</v>
      </c>
      <c r="E31" s="4"/>
      <c r="G31" s="3"/>
      <c r="H31" s="10">
        <f t="shared" si="1"/>
        <v>300</v>
      </c>
      <c r="K31" s="4"/>
      <c r="M31" s="3"/>
      <c r="N31" s="10" t="str">
        <f t="shared" si="2"/>
        <v xml:space="preserve"> N/A</v>
      </c>
      <c r="Q31" s="4"/>
    </row>
    <row r="32" spans="1:23" x14ac:dyDescent="0.3">
      <c r="A32" s="3"/>
      <c r="B32" s="10" t="str" cm="1">
        <f t="array" ref="B32">_xlfn.IFS(C4&gt;=200,"High",AND(100&lt;C4,200&gt;C4),"Medium",C4&lt;100,"Low")</f>
        <v>High</v>
      </c>
      <c r="E32" s="4"/>
      <c r="G32" s="3"/>
      <c r="H32" s="10">
        <f t="shared" si="1"/>
        <v>300</v>
      </c>
      <c r="K32" s="4"/>
      <c r="M32" s="3"/>
      <c r="N32" s="10" t="str">
        <f t="shared" si="2"/>
        <v>High Performer</v>
      </c>
      <c r="Q32" s="4"/>
    </row>
    <row r="33" spans="1:17" x14ac:dyDescent="0.3">
      <c r="A33" s="3"/>
      <c r="B33" s="10" t="str" cm="1">
        <f t="array" ref="B33">_xlfn.IFS(C5&gt;200,"High",AND(100&lt;C5,200&gt;C5),"Medium",C5&lt;100,"Low")</f>
        <v>Low</v>
      </c>
      <c r="E33" s="4"/>
      <c r="G33" s="3"/>
      <c r="H33" s="10">
        <f t="shared" si="1"/>
        <v>300</v>
      </c>
      <c r="K33" s="4"/>
      <c r="M33" s="3"/>
      <c r="N33" s="10" t="str">
        <f t="shared" si="2"/>
        <v xml:space="preserve"> N/A</v>
      </c>
      <c r="Q33" s="4"/>
    </row>
    <row r="34" spans="1:17" x14ac:dyDescent="0.3">
      <c r="A34" s="3"/>
      <c r="B34" s="10" t="str" cm="1">
        <f t="array" ref="B34">_xlfn.IFS(C6&gt;200,"High",AND(100&lt;C6,200&gt;C6),"Medium",C6&lt;100,"Low")</f>
        <v>High</v>
      </c>
      <c r="E34" s="4"/>
      <c r="G34" s="3"/>
      <c r="H34" s="10">
        <f t="shared" si="1"/>
        <v>500</v>
      </c>
      <c r="K34" s="4"/>
      <c r="M34" s="3"/>
      <c r="N34" s="10" t="str">
        <f t="shared" si="2"/>
        <v>High Performer</v>
      </c>
      <c r="Q34" s="4"/>
    </row>
    <row r="35" spans="1:17" ht="15" thickBot="1" x14ac:dyDescent="0.35">
      <c r="A35" s="5"/>
      <c r="B35" s="11" t="str" cm="1">
        <f t="array" ref="B35">_xlfn.IFS(C7&gt;200,"High",AND(100&lt;C7,200&gt;C7),"Medium",C7&lt;100,"Low")</f>
        <v>Medium</v>
      </c>
      <c r="C35" s="6"/>
      <c r="D35" s="6"/>
      <c r="E35" s="7"/>
      <c r="G35" s="5"/>
      <c r="H35" s="11">
        <f t="shared" si="1"/>
        <v>300</v>
      </c>
      <c r="I35" s="6"/>
      <c r="J35" s="6"/>
      <c r="K35" s="7"/>
      <c r="M35" s="5"/>
      <c r="N35" s="11" t="str">
        <f t="shared" si="2"/>
        <v xml:space="preserve"> N/A</v>
      </c>
      <c r="O35" s="6"/>
      <c r="P35" s="6"/>
      <c r="Q35" s="7"/>
    </row>
  </sheetData>
  <mergeCells count="8">
    <mergeCell ref="B25:E28"/>
    <mergeCell ref="H25:K28"/>
    <mergeCell ref="N25:Q28"/>
    <mergeCell ref="B13:E16"/>
    <mergeCell ref="H1:K4"/>
    <mergeCell ref="N1:Q4"/>
    <mergeCell ref="H13:K16"/>
    <mergeCell ref="N13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2026-01-30T11:22:47Z</dcterms:created>
  <dcterms:modified xsi:type="dcterms:W3CDTF">2026-01-30T17:39:09Z</dcterms:modified>
</cp:coreProperties>
</file>