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umita Akhuli\Downloads\"/>
    </mc:Choice>
  </mc:AlternateContent>
  <xr:revisionPtr revIDLastSave="0" documentId="13_ncr:1_{D9D415C8-76C0-444C-B860-878A604AAE2A}" xr6:coauthVersionLast="47" xr6:coauthVersionMax="47" xr10:uidLastSave="{00000000-0000-0000-0000-000000000000}"/>
  <bookViews>
    <workbookView xWindow="-108" yWindow="-108" windowWidth="23256" windowHeight="12456" xr2:uid="{631F5FD3-4003-465B-A4BA-5F15BDE29B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4" i="1" l="1"/>
  <c r="J10" i="1"/>
  <c r="R8" i="1"/>
  <c r="R4" i="1"/>
  <c r="J26" i="1"/>
  <c r="J22" i="1"/>
  <c r="J18" i="1"/>
  <c r="J14" i="1"/>
</calcChain>
</file>

<file path=xl/sharedStrings.xml><?xml version="1.0" encoding="utf-8"?>
<sst xmlns="http://schemas.openxmlformats.org/spreadsheetml/2006/main" count="60" uniqueCount="40">
  <si>
    <t>ProductID</t>
  </si>
  <si>
    <t>Product</t>
  </si>
  <si>
    <t>Category</t>
  </si>
  <si>
    <t>Feb Sales</t>
  </si>
  <si>
    <t>Jan Sales</t>
  </si>
  <si>
    <t>Mar Sales</t>
  </si>
  <si>
    <t>Apr Sales</t>
  </si>
  <si>
    <t>May Sales</t>
  </si>
  <si>
    <t>Electronics</t>
  </si>
  <si>
    <t>Furniture</t>
  </si>
  <si>
    <t>Clothing</t>
  </si>
  <si>
    <t>PRODA</t>
  </si>
  <si>
    <t>PRODB</t>
  </si>
  <si>
    <t>PRODC</t>
  </si>
  <si>
    <t>PRODD</t>
  </si>
  <si>
    <t>PRODE</t>
  </si>
  <si>
    <t>PRODF</t>
  </si>
  <si>
    <t>MAX Sale</t>
  </si>
  <si>
    <t>Sum of March Sale</t>
  </si>
  <si>
    <t>Average Sale</t>
  </si>
  <si>
    <t>Q. No. 1</t>
  </si>
  <si>
    <t>Q. No. 2</t>
  </si>
  <si>
    <t>Q. No. 3</t>
  </si>
  <si>
    <t>Q. No. 4</t>
  </si>
  <si>
    <t>Q. No. 5</t>
  </si>
  <si>
    <t>Q. No. 6</t>
  </si>
  <si>
    <t>Use INDEX and MATCH to find the sales for Product C in March</t>
  </si>
  <si>
    <t>Use INDEX and MATCH to find the category for Product E.</t>
  </si>
  <si>
    <t>Use INDEX and MATCH to find the maximum sales for Product B across all months.</t>
  </si>
  <si>
    <t>Use INDEX and MATCH to find the month with the maximum sales for Product A.</t>
  </si>
  <si>
    <t>Q. No. 7</t>
  </si>
  <si>
    <t>Use INDEX and MATCH to find the sales for Product ID 105 in May.</t>
  </si>
  <si>
    <t>Q. No. 8</t>
  </si>
  <si>
    <t>Use INDEX and MATCH to create a dynamic lookup where the user can input a product and a month, and the formula returns the corresponding sales.</t>
  </si>
  <si>
    <t>Product Name</t>
  </si>
  <si>
    <t>Month</t>
  </si>
  <si>
    <t>Sales</t>
  </si>
  <si>
    <t>Use INDEX and MATCH to calculate the average sales for Product D across all months.</t>
  </si>
  <si>
    <t xml:space="preserve">Use INDEX, MATCH, and SUMIF to sum the sales for all products in 
the "Electronics" category for April. </t>
  </si>
  <si>
    <t>Month with Highest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</si>
</sst>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1" fillId="0" borderId="0" xfId="0" applyFont="1"/>
    <xf numFmtId="0" fontId="1" fillId="0" borderId="0" xfId="0" applyFont="1" applyAlignment="1">
      <alignment wrapText="1"/>
    </xf>
    <xf numFmtId="0" fontId="1" fillId="7" borderId="1" xfId="0" applyFont="1" applyFill="1" applyBorder="1"/>
    <xf numFmtId="0" fontId="1" fillId="9" borderId="1" xfId="0" applyFont="1" applyFill="1" applyBorder="1" applyAlignment="1">
      <alignment wrapText="1"/>
    </xf>
    <xf numFmtId="0" fontId="1" fillId="9" borderId="1" xfId="0" applyFont="1" applyFill="1" applyBorder="1"/>
    <xf numFmtId="0" fontId="0" fillId="0" borderId="2" xfId="0" applyBorder="1"/>
    <xf numFmtId="0" fontId="1" fillId="0" borderId="3" xfId="0" applyFont="1" applyBorder="1"/>
    <xf numFmtId="0" fontId="0" fillId="3" borderId="5" xfId="0" applyFill="1" applyBorder="1"/>
    <xf numFmtId="0" fontId="1" fillId="3" borderId="6" xfId="0" applyFont="1" applyFill="1" applyBorder="1"/>
    <xf numFmtId="0" fontId="0" fillId="0" borderId="7" xfId="0" applyBorder="1"/>
    <xf numFmtId="0" fontId="0" fillId="0" borderId="8" xfId="0" applyBorder="1"/>
    <xf numFmtId="0" fontId="0" fillId="3" borderId="9" xfId="0" applyFill="1" applyBorder="1"/>
    <xf numFmtId="0" fontId="0" fillId="3" borderId="10" xfId="0" applyFill="1" applyBorder="1"/>
    <xf numFmtId="0" fontId="1" fillId="4" borderId="6" xfId="0" applyFont="1" applyFill="1" applyBorder="1"/>
    <xf numFmtId="0" fontId="0" fillId="4" borderId="9" xfId="0" applyFill="1" applyBorder="1"/>
    <xf numFmtId="0" fontId="0" fillId="4" borderId="10" xfId="0" applyFill="1" applyBorder="1"/>
    <xf numFmtId="0" fontId="1" fillId="2" borderId="6" xfId="0" applyFont="1" applyFill="1" applyBorder="1"/>
    <xf numFmtId="0" fontId="0" fillId="2" borderId="9" xfId="0" applyFill="1" applyBorder="1"/>
    <xf numFmtId="0" fontId="0" fillId="2" borderId="10" xfId="0" applyFill="1" applyBorder="1"/>
    <xf numFmtId="0" fontId="1" fillId="5" borderId="6" xfId="0" applyFont="1" applyFill="1" applyBorder="1"/>
    <xf numFmtId="0" fontId="0" fillId="5" borderId="9" xfId="0" applyFill="1" applyBorder="1"/>
    <xf numFmtId="0" fontId="0" fillId="5" borderId="10" xfId="0" applyFill="1" applyBorder="1"/>
    <xf numFmtId="0" fontId="1" fillId="6" borderId="6" xfId="0" applyFont="1" applyFill="1" applyBorder="1"/>
    <xf numFmtId="0" fontId="0" fillId="6" borderId="9" xfId="0" applyFill="1" applyBorder="1"/>
    <xf numFmtId="0" fontId="0" fillId="6" borderId="10" xfId="0" applyFill="1" applyBorder="1"/>
    <xf numFmtId="0" fontId="1" fillId="0" borderId="12" xfId="0" applyFont="1" applyBorder="1"/>
    <xf numFmtId="0" fontId="0" fillId="0" borderId="13" xfId="0" applyBorder="1"/>
    <xf numFmtId="0" fontId="1" fillId="8" borderId="15" xfId="0" applyFont="1" applyFill="1" applyBorder="1"/>
    <xf numFmtId="0" fontId="0" fillId="8" borderId="9" xfId="0" applyFill="1" applyBorder="1"/>
    <xf numFmtId="0" fontId="0" fillId="8" borderId="10" xfId="0" applyFill="1" applyBorder="1"/>
    <xf numFmtId="0" fontId="0" fillId="0" borderId="0" xfId="0" applyAlignment="1">
      <alignment wrapText="1"/>
    </xf>
    <xf numFmtId="0" fontId="1" fillId="9" borderId="15" xfId="0" applyFont="1" applyFill="1" applyBorder="1" applyAlignment="1">
      <alignment wrapText="1"/>
    </xf>
    <xf numFmtId="0" fontId="0" fillId="9" borderId="9" xfId="0" applyFill="1" applyBorder="1"/>
    <xf numFmtId="0" fontId="0" fillId="9" borderId="10" xfId="0" applyFill="1" applyBorder="1"/>
    <xf numFmtId="0" fontId="2" fillId="2" borderId="16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0" fillId="2" borderId="17" xfId="0" applyFill="1" applyBorder="1" applyAlignment="1">
      <alignment horizontal="left"/>
    </xf>
    <xf numFmtId="0" fontId="0" fillId="2" borderId="15" xfId="0" applyFill="1" applyBorder="1" applyAlignment="1">
      <alignment horizontal="left"/>
    </xf>
    <xf numFmtId="0" fontId="0" fillId="2" borderId="18" xfId="0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1" fillId="0" borderId="3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14" xfId="0" applyFont="1" applyBorder="1" applyAlignment="1">
      <alignment wrapText="1"/>
    </xf>
    <xf numFmtId="0" fontId="1" fillId="0" borderId="3" xfId="0" applyFont="1" applyBorder="1"/>
    <xf numFmtId="0" fontId="1" fillId="0" borderId="4" xfId="0" applyFont="1" applyBorder="1"/>
    <xf numFmtId="0" fontId="1" fillId="0" borderId="4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0" xfId="0" applyFont="1" applyBorder="1" applyAlignment="1">
      <alignment wrapText="1"/>
    </xf>
    <xf numFmtId="0" fontId="0" fillId="0" borderId="0" xfId="0" applyBorder="1"/>
    <xf numFmtId="0" fontId="1" fillId="7" borderId="15" xfId="0" applyFont="1" applyFill="1" applyBorder="1"/>
    <xf numFmtId="0" fontId="0" fillId="7" borderId="9" xfId="0" applyFill="1" applyBorder="1"/>
    <xf numFmtId="0" fontId="0" fillId="7" borderId="10" xfId="0" applyFill="1" applyBorder="1"/>
    <xf numFmtId="0" fontId="1" fillId="8" borderId="1" xfId="0" applyFont="1" applyFill="1" applyBorder="1"/>
    <xf numFmtId="0" fontId="1" fillId="4" borderId="5" xfId="0" applyFont="1" applyFill="1" applyBorder="1"/>
    <xf numFmtId="0" fontId="1" fillId="2" borderId="5" xfId="0" applyFont="1" applyFill="1" applyBorder="1"/>
    <xf numFmtId="0" fontId="1" fillId="5" borderId="5" xfId="0" applyFont="1" applyFill="1" applyBorder="1"/>
    <xf numFmtId="0" fontId="1" fillId="6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8FEC8-7542-4D5B-BEE6-B2BFD3714115}">
  <dimension ref="A1:T27"/>
  <sheetViews>
    <sheetView tabSelected="1" workbookViewId="0">
      <selection activeCell="I25" sqref="I25"/>
    </sheetView>
  </sheetViews>
  <sheetFormatPr defaultRowHeight="14.4" x14ac:dyDescent="0.3"/>
  <cols>
    <col min="1" max="1" width="10.5546875" customWidth="1"/>
    <col min="3" max="3" width="11" customWidth="1"/>
    <col min="4" max="4" width="10.33203125" customWidth="1"/>
    <col min="5" max="5" width="10.109375" customWidth="1"/>
    <col min="6" max="6" width="10.33203125" customWidth="1"/>
    <col min="7" max="7" width="11.33203125" customWidth="1"/>
    <col min="8" max="8" width="11" customWidth="1"/>
    <col min="9" max="9" width="9.88671875" bestFit="1" customWidth="1"/>
    <col min="10" max="10" width="21.44140625" bestFit="1" customWidth="1"/>
    <col min="11" max="11" width="9.5546875" bestFit="1" customWidth="1"/>
    <col min="12" max="12" width="9.44140625" bestFit="1" customWidth="1"/>
    <col min="16" max="16" width="12.6640625" bestFit="1" customWidth="1"/>
    <col min="17" max="17" width="9.5546875" bestFit="1" customWidth="1"/>
    <col min="18" max="18" width="11.77734375" bestFit="1" customWidth="1"/>
  </cols>
  <sheetData>
    <row r="1" spans="1:20" ht="15.6" x14ac:dyDescent="0.3">
      <c r="A1" s="37" t="s">
        <v>0</v>
      </c>
      <c r="B1" s="38" t="s">
        <v>1</v>
      </c>
      <c r="C1" s="38" t="s">
        <v>2</v>
      </c>
      <c r="D1" s="38" t="s">
        <v>4</v>
      </c>
      <c r="E1" s="38" t="s">
        <v>3</v>
      </c>
      <c r="F1" s="38" t="s">
        <v>5</v>
      </c>
      <c r="G1" s="38" t="s">
        <v>6</v>
      </c>
      <c r="H1" s="39" t="s">
        <v>7</v>
      </c>
      <c r="L1" s="8" t="s">
        <v>25</v>
      </c>
      <c r="M1" s="45" t="s">
        <v>37</v>
      </c>
      <c r="N1" s="45"/>
      <c r="O1" s="45"/>
      <c r="P1" s="45"/>
      <c r="Q1" s="45"/>
      <c r="R1" s="46"/>
      <c r="S1" s="3"/>
      <c r="T1" s="3"/>
    </row>
    <row r="2" spans="1:20" x14ac:dyDescent="0.3">
      <c r="A2" s="40">
        <v>101</v>
      </c>
      <c r="B2" s="2" t="s">
        <v>11</v>
      </c>
      <c r="C2" s="2" t="s">
        <v>8</v>
      </c>
      <c r="D2" s="1">
        <v>120</v>
      </c>
      <c r="E2" s="1">
        <v>130</v>
      </c>
      <c r="F2" s="1">
        <v>140</v>
      </c>
      <c r="G2" s="1">
        <v>150</v>
      </c>
      <c r="H2" s="41">
        <v>160</v>
      </c>
      <c r="L2" s="29"/>
      <c r="M2" s="54"/>
      <c r="N2" s="54"/>
      <c r="O2" s="54"/>
      <c r="P2" s="54"/>
      <c r="Q2" s="54"/>
      <c r="R2" s="48"/>
    </row>
    <row r="3" spans="1:20" x14ac:dyDescent="0.3">
      <c r="A3" s="40">
        <v>102</v>
      </c>
      <c r="B3" s="2" t="s">
        <v>12</v>
      </c>
      <c r="C3" s="2" t="s">
        <v>9</v>
      </c>
      <c r="D3" s="1">
        <v>150</v>
      </c>
      <c r="E3" s="1">
        <v>160</v>
      </c>
      <c r="F3" s="1">
        <v>220</v>
      </c>
      <c r="G3" s="1">
        <v>180</v>
      </c>
      <c r="H3" s="41">
        <v>190</v>
      </c>
      <c r="L3" s="29"/>
      <c r="M3" s="55"/>
      <c r="N3" s="55"/>
      <c r="O3" s="55"/>
      <c r="P3" s="55"/>
      <c r="Q3" s="5" t="s">
        <v>1</v>
      </c>
      <c r="R3" s="56" t="s">
        <v>19</v>
      </c>
    </row>
    <row r="4" spans="1:20" ht="15" thickBot="1" x14ac:dyDescent="0.35">
      <c r="A4" s="40">
        <v>103</v>
      </c>
      <c r="B4" s="2" t="s">
        <v>13</v>
      </c>
      <c r="C4" s="2" t="s">
        <v>8</v>
      </c>
      <c r="D4" s="1">
        <v>200</v>
      </c>
      <c r="E4" s="1">
        <v>210</v>
      </c>
      <c r="F4" s="1">
        <v>220</v>
      </c>
      <c r="G4" s="1">
        <v>230</v>
      </c>
      <c r="H4" s="41">
        <v>240</v>
      </c>
      <c r="L4" s="12"/>
      <c r="M4" s="13"/>
      <c r="N4" s="13"/>
      <c r="O4" s="13"/>
      <c r="P4" s="13"/>
      <c r="Q4" s="57" t="s">
        <v>14</v>
      </c>
      <c r="R4" s="58">
        <f>AVERAGE(INDEX(D2:H7,MATCH(Q4,B2:B7,0),))</f>
        <v>110</v>
      </c>
    </row>
    <row r="5" spans="1:20" ht="15" thickBot="1" x14ac:dyDescent="0.35">
      <c r="A5" s="40">
        <v>104</v>
      </c>
      <c r="B5" s="2" t="s">
        <v>14</v>
      </c>
      <c r="C5" s="2" t="s">
        <v>10</v>
      </c>
      <c r="D5" s="1">
        <v>90</v>
      </c>
      <c r="E5" s="1">
        <v>100</v>
      </c>
      <c r="F5" s="1">
        <v>110</v>
      </c>
      <c r="G5" s="1">
        <v>120</v>
      </c>
      <c r="H5" s="41">
        <v>130</v>
      </c>
    </row>
    <row r="6" spans="1:20" x14ac:dyDescent="0.3">
      <c r="A6" s="40">
        <v>105</v>
      </c>
      <c r="B6" s="2" t="s">
        <v>15</v>
      </c>
      <c r="C6" s="2" t="s">
        <v>9</v>
      </c>
      <c r="D6" s="1">
        <v>220</v>
      </c>
      <c r="E6" s="1">
        <v>230</v>
      </c>
      <c r="F6" s="1">
        <v>240</v>
      </c>
      <c r="G6" s="1">
        <v>250</v>
      </c>
      <c r="H6" s="41">
        <v>260</v>
      </c>
      <c r="L6" s="8" t="s">
        <v>30</v>
      </c>
      <c r="M6" s="9" t="s">
        <v>31</v>
      </c>
      <c r="N6" s="9"/>
      <c r="O6" s="9"/>
      <c r="P6" s="9"/>
      <c r="Q6" s="9"/>
      <c r="R6" s="28"/>
      <c r="S6" s="3"/>
      <c r="T6" s="3"/>
    </row>
    <row r="7" spans="1:20" ht="15" thickBot="1" x14ac:dyDescent="0.35">
      <c r="A7" s="42">
        <v>106</v>
      </c>
      <c r="B7" s="20" t="s">
        <v>16</v>
      </c>
      <c r="C7" s="20" t="s">
        <v>8</v>
      </c>
      <c r="D7" s="43">
        <v>130</v>
      </c>
      <c r="E7" s="43">
        <v>140</v>
      </c>
      <c r="F7" s="43">
        <v>150</v>
      </c>
      <c r="G7" s="43">
        <v>160</v>
      </c>
      <c r="H7" s="44">
        <v>170</v>
      </c>
      <c r="L7" s="29"/>
      <c r="Q7" s="59" t="s">
        <v>0</v>
      </c>
      <c r="R7" s="30" t="s">
        <v>7</v>
      </c>
    </row>
    <row r="8" spans="1:20" ht="15" thickBot="1" x14ac:dyDescent="0.35">
      <c r="L8" s="12"/>
      <c r="M8" s="13"/>
      <c r="N8" s="13"/>
      <c r="O8" s="13"/>
      <c r="P8" s="13"/>
      <c r="Q8" s="31">
        <v>105</v>
      </c>
      <c r="R8" s="32">
        <f>INDEX(D2:H7,MATCH(Q8,A2:A7,0),MATCH(R7,D1:H1,0))</f>
        <v>260</v>
      </c>
    </row>
    <row r="9" spans="1:20" ht="15" thickBot="1" x14ac:dyDescent="0.35">
      <c r="A9" s="8" t="s">
        <v>20</v>
      </c>
      <c r="B9" s="49" t="s">
        <v>26</v>
      </c>
      <c r="C9" s="49"/>
      <c r="D9" s="49"/>
      <c r="E9" s="49"/>
      <c r="F9" s="49"/>
      <c r="G9" s="49"/>
      <c r="H9" s="50"/>
      <c r="I9" s="10"/>
      <c r="J9" s="11" t="s">
        <v>13</v>
      </c>
    </row>
    <row r="10" spans="1:20" ht="14.4" customHeight="1" thickBot="1" x14ac:dyDescent="0.35">
      <c r="A10" s="12"/>
      <c r="B10" s="13"/>
      <c r="C10" s="13"/>
      <c r="D10" s="13"/>
      <c r="E10" s="13"/>
      <c r="F10" s="13"/>
      <c r="G10" s="13"/>
      <c r="H10" s="13"/>
      <c r="I10" s="14" t="s">
        <v>5</v>
      </c>
      <c r="J10" s="15">
        <f>INDEX(A1:H7,MATCH(J9,B1:B7,0),MATCH(I10,A1:H1,0))</f>
        <v>220</v>
      </c>
      <c r="L10" s="8" t="s">
        <v>32</v>
      </c>
      <c r="M10" s="45" t="s">
        <v>33</v>
      </c>
      <c r="N10" s="45"/>
      <c r="O10" s="45"/>
      <c r="P10" s="45"/>
      <c r="Q10" s="45"/>
      <c r="R10" s="46"/>
    </row>
    <row r="11" spans="1:20" x14ac:dyDescent="0.3">
      <c r="L11" s="29"/>
      <c r="M11" s="47"/>
      <c r="N11" s="47"/>
      <c r="O11" s="47"/>
      <c r="P11" s="47"/>
      <c r="Q11" s="47"/>
      <c r="R11" s="48"/>
    </row>
    <row r="12" spans="1:20" ht="15" thickBot="1" x14ac:dyDescent="0.35">
      <c r="L12" s="29"/>
      <c r="M12" s="47"/>
      <c r="N12" s="47"/>
      <c r="O12" s="47"/>
      <c r="P12" s="47"/>
      <c r="Q12" s="47"/>
      <c r="R12" s="48"/>
    </row>
    <row r="13" spans="1:20" ht="14.4" customHeight="1" x14ac:dyDescent="0.3">
      <c r="A13" s="8" t="s">
        <v>21</v>
      </c>
      <c r="B13" s="49" t="s">
        <v>27</v>
      </c>
      <c r="C13" s="49"/>
      <c r="D13" s="49"/>
      <c r="E13" s="49"/>
      <c r="F13" s="49"/>
      <c r="G13" s="49"/>
      <c r="H13" s="50"/>
      <c r="I13" s="60" t="s">
        <v>1</v>
      </c>
      <c r="J13" s="16" t="s">
        <v>2</v>
      </c>
      <c r="L13" s="29"/>
      <c r="M13" s="33"/>
      <c r="N13" s="33"/>
      <c r="O13" s="33"/>
      <c r="P13" s="6" t="s">
        <v>34</v>
      </c>
      <c r="Q13" s="7" t="s">
        <v>35</v>
      </c>
      <c r="R13" s="34" t="s">
        <v>36</v>
      </c>
    </row>
    <row r="14" spans="1:20" ht="15" thickBot="1" x14ac:dyDescent="0.35">
      <c r="A14" s="12"/>
      <c r="B14" s="13"/>
      <c r="C14" s="13"/>
      <c r="D14" s="13"/>
      <c r="E14" s="13"/>
      <c r="F14" s="13"/>
      <c r="G14" s="13"/>
      <c r="H14" s="13"/>
      <c r="I14" s="17" t="s">
        <v>15</v>
      </c>
      <c r="J14" s="18" t="str">
        <f>INDEX(A1:H7,MATCH(I14,B1:B7,0),MATCH(J13,A1:H1,0))</f>
        <v>Furniture</v>
      </c>
      <c r="L14" s="12"/>
      <c r="M14" s="13"/>
      <c r="N14" s="13"/>
      <c r="O14" s="13"/>
      <c r="P14" s="35" t="s">
        <v>12</v>
      </c>
      <c r="Q14" s="35" t="s">
        <v>4</v>
      </c>
      <c r="R14" s="36">
        <f>INDEX(D2:H7, MATCH(P14, B2:B7, 0), MATCH(Q14, D1:H1, 0))</f>
        <v>150</v>
      </c>
    </row>
    <row r="16" spans="1:20" ht="15" thickBot="1" x14ac:dyDescent="0.35"/>
    <row r="17" spans="1:10" x14ac:dyDescent="0.3">
      <c r="A17" s="8" t="s">
        <v>22</v>
      </c>
      <c r="B17" s="49" t="s">
        <v>28</v>
      </c>
      <c r="C17" s="49"/>
      <c r="D17" s="49"/>
      <c r="E17" s="49"/>
      <c r="F17" s="49"/>
      <c r="G17" s="49"/>
      <c r="H17" s="49"/>
      <c r="I17" s="61" t="s">
        <v>1</v>
      </c>
      <c r="J17" s="19" t="s">
        <v>17</v>
      </c>
    </row>
    <row r="18" spans="1:10" ht="15" thickBot="1" x14ac:dyDescent="0.35">
      <c r="A18" s="12"/>
      <c r="B18" s="13"/>
      <c r="C18" s="13"/>
      <c r="D18" s="13"/>
      <c r="E18" s="13"/>
      <c r="F18" s="13"/>
      <c r="G18" s="13"/>
      <c r="H18" s="13"/>
      <c r="I18" s="20" t="s">
        <v>12</v>
      </c>
      <c r="J18" s="21">
        <f>MAX(INDEX(D2:H7,MATCH(I18,B2:B7,0),))</f>
        <v>220</v>
      </c>
    </row>
    <row r="20" spans="1:10" ht="15" thickBot="1" x14ac:dyDescent="0.35"/>
    <row r="21" spans="1:10" x14ac:dyDescent="0.3">
      <c r="A21" s="8" t="s">
        <v>23</v>
      </c>
      <c r="B21" s="49" t="s">
        <v>29</v>
      </c>
      <c r="C21" s="49"/>
      <c r="D21" s="49"/>
      <c r="E21" s="49"/>
      <c r="F21" s="49"/>
      <c r="G21" s="49"/>
      <c r="H21" s="49"/>
      <c r="I21" s="62" t="s">
        <v>1</v>
      </c>
      <c r="J21" s="22" t="s">
        <v>39</v>
      </c>
    </row>
    <row r="22" spans="1:10" ht="15" thickBot="1" x14ac:dyDescent="0.35">
      <c r="A22" s="12"/>
      <c r="B22" s="13"/>
      <c r="C22" s="13"/>
      <c r="D22" s="13"/>
      <c r="E22" s="13"/>
      <c r="F22" s="13"/>
      <c r="G22" s="13"/>
      <c r="H22" s="13"/>
      <c r="I22" s="23" t="s">
        <v>11</v>
      </c>
      <c r="J22" s="24" t="str">
        <f>INDEX(D1:H1,MATCH(MAX(D2:H2),D2:H2,0))</f>
        <v>May Sales</v>
      </c>
    </row>
    <row r="24" spans="1:10" ht="15" thickBot="1" x14ac:dyDescent="0.35"/>
    <row r="25" spans="1:10" ht="14.4" customHeight="1" x14ac:dyDescent="0.3">
      <c r="A25" s="8" t="s">
        <v>24</v>
      </c>
      <c r="B25" s="45" t="s">
        <v>38</v>
      </c>
      <c r="C25" s="45"/>
      <c r="D25" s="45"/>
      <c r="E25" s="45"/>
      <c r="F25" s="45"/>
      <c r="G25" s="45"/>
      <c r="H25" s="51"/>
      <c r="I25" s="63" t="s">
        <v>2</v>
      </c>
      <c r="J25" s="25" t="s">
        <v>18</v>
      </c>
    </row>
    <row r="26" spans="1:10" ht="15" thickBot="1" x14ac:dyDescent="0.35">
      <c r="A26" s="12"/>
      <c r="B26" s="52"/>
      <c r="C26" s="52"/>
      <c r="D26" s="52"/>
      <c r="E26" s="52"/>
      <c r="F26" s="52"/>
      <c r="G26" s="52"/>
      <c r="H26" s="53"/>
      <c r="I26" s="26" t="s">
        <v>8</v>
      </c>
      <c r="J26" s="27">
        <f>SUMIF(C2:C7,"Electronics",F2:F7)</f>
        <v>510</v>
      </c>
    </row>
    <row r="27" spans="1:10" x14ac:dyDescent="0.3">
      <c r="B27" s="4"/>
      <c r="C27" s="4"/>
      <c r="D27" s="4"/>
      <c r="E27" s="4"/>
      <c r="F27" s="4"/>
      <c r="G27" s="4"/>
      <c r="H27" s="4"/>
    </row>
  </sheetData>
  <mergeCells count="7">
    <mergeCell ref="B25:H26"/>
    <mergeCell ref="M1:R2"/>
    <mergeCell ref="M10:R12"/>
    <mergeCell ref="B17:H17"/>
    <mergeCell ref="B21:H21"/>
    <mergeCell ref="B9:H9"/>
    <mergeCell ref="B13:H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Moumita Akhuli</cp:lastModifiedBy>
  <dcterms:created xsi:type="dcterms:W3CDTF">2026-01-20T05:27:20Z</dcterms:created>
  <dcterms:modified xsi:type="dcterms:W3CDTF">2026-01-21T18:55:46Z</dcterms:modified>
</cp:coreProperties>
</file>